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Execution Summary" sheetId="2" state="visible" r:id="rId2"/>
  </sheets>
  <definedNames>
    <definedName name="_xlnm._FilterDatabase" localSheetId="0" hidden="1">'Test Cases'!$A$1:$I$21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ptos"/>
      <b val="1"/>
      <color rgb="00FFFFFF"/>
      <sz val="11"/>
    </font>
    <font>
      <name val="Aptos"/>
      <color rgb="00666666"/>
      <sz val="10"/>
    </font>
    <font>
      <name val="Aptos"/>
      <color rgb="000000FF"/>
      <sz val="10"/>
    </font>
    <font>
      <name val="Aptos Display"/>
      <b val="1"/>
      <color rgb="001F4E78"/>
      <sz val="18"/>
    </font>
    <font>
      <b val="1"/>
      <color rgb="00FFFFFF"/>
    </font>
    <font>
      <name val="Aptos"/>
      <color rgb="00666666"/>
    </font>
    <font>
      <name val="Aptos"/>
      <color rgb="00000000"/>
    </font>
    <font>
      <b val="1"/>
      <color rgb="001F4E78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8FBFD"/>
      </patternFill>
    </fill>
    <fill>
      <patternFill patternType="solid">
        <fgColor rgb="00FFF2CC"/>
      </patternFill>
    </fill>
    <fill>
      <patternFill patternType="solid">
        <fgColor rgb="00D9EAF7"/>
      </patternFill>
    </fill>
    <fill>
      <patternFill patternType="solid">
        <fgColor rgb="00F4B183"/>
      </patternFill>
    </fill>
    <fill>
      <patternFill patternType="solid">
        <fgColor rgb="00D9EAD3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6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top" wrapText="1"/>
    </xf>
    <xf numFmtId="0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4" fillId="0" borderId="1" pivotButton="0" quotePrefix="0" xfId="0"/>
    <xf numFmtId="0" fontId="5" fillId="2" borderId="1" pivotButton="0" quotePrefix="0" xfId="0"/>
    <xf numFmtId="0" fontId="6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0" fontId="8" fillId="0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38" customWidth="1" min="3" max="3"/>
    <col width="30" customWidth="1" min="4" max="4"/>
    <col width="40" customWidth="1" min="5" max="5"/>
    <col width="42" customWidth="1" min="6" max="6"/>
    <col width="12" customWidth="1" min="7" max="7"/>
    <col width="12" customWidth="1" min="8" max="8"/>
    <col width="38" customWidth="1" min="9" max="9"/>
  </cols>
  <sheetData>
    <row r="1" ht="30" customHeight="1">
      <c r="A1" s="1" t="inlineStr">
        <is>
          <t>ID</t>
        </is>
      </c>
      <c r="B1" s="1" t="inlineStr">
        <is>
          <t>Area</t>
        </is>
      </c>
      <c r="C1" s="1" t="inlineStr">
        <is>
          <t>Test Scenario</t>
        </is>
      </c>
      <c r="D1" s="1" t="inlineStr">
        <is>
          <t>Preconditions</t>
        </is>
      </c>
      <c r="E1" s="1" t="inlineStr">
        <is>
          <t>Steps</t>
        </is>
      </c>
      <c r="F1" s="1" t="inlineStr">
        <is>
          <t>Expected Result</t>
        </is>
      </c>
      <c r="G1" s="1" t="inlineStr">
        <is>
          <t>Priority</t>
        </is>
      </c>
      <c r="H1" s="1" t="inlineStr">
        <is>
          <t>Status</t>
        </is>
      </c>
      <c r="I1" s="1" t="inlineStr">
        <is>
          <t>Actual Result / Notes</t>
        </is>
      </c>
    </row>
    <row r="2" ht="48" customHeight="1">
      <c r="A2" s="2" t="inlineStr">
        <is>
          <t>TC-001</t>
        </is>
      </c>
      <c r="B2" s="2" t="inlineStr">
        <is>
          <t>Navigation</t>
        </is>
      </c>
      <c r="C2" s="2" t="inlineStr">
        <is>
          <t>Logo returns user to homepage</t>
        </is>
      </c>
      <c r="D2" s="2" t="inlineStr">
        <is>
          <t>User is on an internal page</t>
        </is>
      </c>
      <c r="E2" s="2" t="inlineStr">
        <is>
          <t>1. Click the site logo</t>
        </is>
      </c>
      <c r="F2" s="2" t="inlineStr">
        <is>
          <t>Homepage loads successfully</t>
        </is>
      </c>
      <c r="G2" s="3" t="inlineStr">
        <is>
          <t>Medium</t>
        </is>
      </c>
      <c r="H2" s="4" t="inlineStr">
        <is>
          <t>Not Run</t>
        </is>
      </c>
      <c r="I2" s="5" t="inlineStr"/>
    </row>
    <row r="3" ht="48" customHeight="1">
      <c r="A3" s="6" t="inlineStr">
        <is>
          <t>TC-002</t>
        </is>
      </c>
      <c r="B3" s="6" t="inlineStr">
        <is>
          <t>Navigation</t>
        </is>
      </c>
      <c r="C3" s="6" t="inlineStr">
        <is>
          <t>Desktop navigation links open correct pages</t>
        </is>
      </c>
      <c r="D3" s="6" t="inlineStr">
        <is>
          <t>Desktop viewport</t>
        </is>
      </c>
      <c r="E3" s="6" t="inlineStr">
        <is>
          <t>1. Click each top navigation item</t>
        </is>
      </c>
      <c r="F3" s="6" t="inlineStr">
        <is>
          <t>Each link opens the correct page</t>
        </is>
      </c>
      <c r="G3" s="7" t="inlineStr">
        <is>
          <t>High</t>
        </is>
      </c>
      <c r="H3" s="4" t="inlineStr">
        <is>
          <t>Not Run</t>
        </is>
      </c>
      <c r="I3" s="8" t="inlineStr"/>
    </row>
    <row r="4" ht="48" customHeight="1">
      <c r="A4" s="2" t="inlineStr">
        <is>
          <t>TC-003</t>
        </is>
      </c>
      <c r="B4" s="2" t="inlineStr">
        <is>
          <t>Navigation</t>
        </is>
      </c>
      <c r="C4" s="2" t="inlineStr">
        <is>
          <t>Mobile menu opens and closes</t>
        </is>
      </c>
      <c r="D4" s="2" t="inlineStr">
        <is>
          <t>Mobile viewport</t>
        </is>
      </c>
      <c r="E4" s="2" t="inlineStr">
        <is>
          <t>1. Tap menu icon
2. Tap close icon</t>
        </is>
      </c>
      <c r="F4" s="2" t="inlineStr">
        <is>
          <t>Menu opens and closes without layout issues</t>
        </is>
      </c>
      <c r="G4" s="7" t="inlineStr">
        <is>
          <t>High</t>
        </is>
      </c>
      <c r="H4" s="4" t="inlineStr">
        <is>
          <t>Not Run</t>
        </is>
      </c>
      <c r="I4" s="5" t="inlineStr"/>
    </row>
    <row r="5" ht="48" customHeight="1">
      <c r="A5" s="6" t="inlineStr">
        <is>
          <t>TC-004</t>
        </is>
      </c>
      <c r="B5" s="6" t="inlineStr">
        <is>
          <t>Search</t>
        </is>
      </c>
      <c r="C5" s="6" t="inlineStr">
        <is>
          <t>Valid product search returns relevant results</t>
        </is>
      </c>
      <c r="D5" s="6" t="inlineStr">
        <is>
          <t>Products exist for search term</t>
        </is>
      </c>
      <c r="E5" s="6" t="inlineStr">
        <is>
          <t>1. Enter a valid product name
2. Submit search</t>
        </is>
      </c>
      <c r="F5" s="6" t="inlineStr">
        <is>
          <t>Relevant matching products are displayed</t>
        </is>
      </c>
      <c r="G5" s="7" t="inlineStr">
        <is>
          <t>High</t>
        </is>
      </c>
      <c r="H5" s="4" t="inlineStr">
        <is>
          <t>Not Run</t>
        </is>
      </c>
      <c r="I5" s="8" t="inlineStr"/>
    </row>
    <row r="6" ht="48" customHeight="1">
      <c r="A6" s="2" t="inlineStr">
        <is>
          <t>TC-005</t>
        </is>
      </c>
      <c r="B6" s="2" t="inlineStr">
        <is>
          <t>Search</t>
        </is>
      </c>
      <c r="C6" s="2" t="inlineStr">
        <is>
          <t>No-result search shows useful message</t>
        </is>
      </c>
      <c r="D6" s="2" t="inlineStr">
        <is>
          <t>None</t>
        </is>
      </c>
      <c r="E6" s="2" t="inlineStr">
        <is>
          <t>1. Search for a non-existent product</t>
        </is>
      </c>
      <c r="F6" s="2" t="inlineStr">
        <is>
          <t>Clear no-results message is displayed</t>
        </is>
      </c>
      <c r="G6" s="3" t="inlineStr">
        <is>
          <t>Medium</t>
        </is>
      </c>
      <c r="H6" s="4" t="inlineStr">
        <is>
          <t>Not Run</t>
        </is>
      </c>
      <c r="I6" s="5" t="inlineStr"/>
    </row>
    <row r="7" ht="48" customHeight="1">
      <c r="A7" s="6" t="inlineStr">
        <is>
          <t>TC-006</t>
        </is>
      </c>
      <c r="B7" s="6" t="inlineStr">
        <is>
          <t>Search</t>
        </is>
      </c>
      <c r="C7" s="6" t="inlineStr">
        <is>
          <t>Search trims leading and trailing spaces</t>
        </is>
      </c>
      <c r="D7" s="6" t="inlineStr">
        <is>
          <t>Products exist for search term</t>
        </is>
      </c>
      <c r="E7" s="6" t="inlineStr">
        <is>
          <t>1. Search for a valid term with spaces before/after it</t>
        </is>
      </c>
      <c r="F7" s="6" t="inlineStr">
        <is>
          <t>Same results as the clean search term are shown</t>
        </is>
      </c>
      <c r="G7" s="9" t="inlineStr">
        <is>
          <t>Low</t>
        </is>
      </c>
      <c r="H7" s="4" t="inlineStr">
        <is>
          <t>Not Run</t>
        </is>
      </c>
      <c r="I7" s="8" t="inlineStr"/>
    </row>
    <row r="8" ht="48" customHeight="1">
      <c r="A8" s="2" t="inlineStr">
        <is>
          <t>TC-007</t>
        </is>
      </c>
      <c r="B8" s="2" t="inlineStr">
        <is>
          <t>Product</t>
        </is>
      </c>
      <c r="C8" s="2" t="inlineStr">
        <is>
          <t>Product detail page loads correctly</t>
        </is>
      </c>
      <c r="D8" s="2" t="inlineStr">
        <is>
          <t>Product exists</t>
        </is>
      </c>
      <c r="E8" s="2" t="inlineStr">
        <is>
          <t>1. Open a product from results</t>
        </is>
      </c>
      <c r="F8" s="2" t="inlineStr">
        <is>
          <t>Title, price, image and controls display correctly</t>
        </is>
      </c>
      <c r="G8" s="7" t="inlineStr">
        <is>
          <t>High</t>
        </is>
      </c>
      <c r="H8" s="4" t="inlineStr">
        <is>
          <t>Not Run</t>
        </is>
      </c>
      <c r="I8" s="5" t="inlineStr"/>
    </row>
    <row r="9" ht="48" customHeight="1">
      <c r="A9" s="6" t="inlineStr">
        <is>
          <t>TC-008</t>
        </is>
      </c>
      <c r="B9" s="6" t="inlineStr">
        <is>
          <t>Product</t>
        </is>
      </c>
      <c r="C9" s="6" t="inlineStr">
        <is>
          <t>User can add product to basket</t>
        </is>
      </c>
      <c r="D9" s="6" t="inlineStr">
        <is>
          <t>Product is in stock</t>
        </is>
      </c>
      <c r="E9" s="6" t="inlineStr">
        <is>
          <t>1. Open product
2. Click Add to Basket</t>
        </is>
      </c>
      <c r="F9" s="6" t="inlineStr">
        <is>
          <t>Product is added and basket count updates</t>
        </is>
      </c>
      <c r="G9" s="10" t="inlineStr">
        <is>
          <t>Critical</t>
        </is>
      </c>
      <c r="H9" s="4" t="inlineStr">
        <is>
          <t>Not Run</t>
        </is>
      </c>
      <c r="I9" s="8" t="inlineStr"/>
    </row>
    <row r="10" ht="48" customHeight="1">
      <c r="A10" s="2" t="inlineStr">
        <is>
          <t>TC-009</t>
        </is>
      </c>
      <c r="B10" s="2" t="inlineStr">
        <is>
          <t>Basket</t>
        </is>
      </c>
      <c r="C10" s="2" t="inlineStr">
        <is>
          <t>Basket total updates when quantity changes</t>
        </is>
      </c>
      <c r="D10" s="2" t="inlineStr">
        <is>
          <t>Basket contains one £20 product</t>
        </is>
      </c>
      <c r="E10" s="2" t="inlineStr">
        <is>
          <t>1. Change quantity from 1 to 2</t>
        </is>
      </c>
      <c r="F10" s="2" t="inlineStr">
        <is>
          <t>Total updates from £20 to £40 without refresh</t>
        </is>
      </c>
      <c r="G10" s="10" t="inlineStr">
        <is>
          <t>Critical</t>
        </is>
      </c>
      <c r="H10" s="4" t="inlineStr">
        <is>
          <t>Not Run</t>
        </is>
      </c>
      <c r="I10" s="5" t="inlineStr"/>
    </row>
    <row r="11" ht="48" customHeight="1">
      <c r="A11" s="6" t="inlineStr">
        <is>
          <t>TC-010</t>
        </is>
      </c>
      <c r="B11" s="6" t="inlineStr">
        <is>
          <t>Basket</t>
        </is>
      </c>
      <c r="C11" s="6" t="inlineStr">
        <is>
          <t>User can remove product from basket</t>
        </is>
      </c>
      <c r="D11" s="6" t="inlineStr">
        <is>
          <t>Basket contains a product</t>
        </is>
      </c>
      <c r="E11" s="6" t="inlineStr">
        <is>
          <t>1. Click Remove</t>
        </is>
      </c>
      <c r="F11" s="6" t="inlineStr">
        <is>
          <t>Product is removed and total recalculates</t>
        </is>
      </c>
      <c r="G11" s="7" t="inlineStr">
        <is>
          <t>High</t>
        </is>
      </c>
      <c r="H11" s="4" t="inlineStr">
        <is>
          <t>Not Run</t>
        </is>
      </c>
      <c r="I11" s="8" t="inlineStr"/>
    </row>
    <row r="12" ht="48" customHeight="1">
      <c r="A12" s="2" t="inlineStr">
        <is>
          <t>TC-011</t>
        </is>
      </c>
      <c r="B12" s="2" t="inlineStr">
        <is>
          <t>Registration</t>
        </is>
      </c>
      <c r="C12" s="2" t="inlineStr">
        <is>
          <t>User can register with valid data</t>
        </is>
      </c>
      <c r="D12" s="2" t="inlineStr">
        <is>
          <t>Email is not already registered</t>
        </is>
      </c>
      <c r="E12" s="2" t="inlineStr">
        <is>
          <t>1. Open registration
2. Enter valid details
3. Submit</t>
        </is>
      </c>
      <c r="F12" s="2" t="inlineStr">
        <is>
          <t>Account is created and success state is shown</t>
        </is>
      </c>
      <c r="G12" s="10" t="inlineStr">
        <is>
          <t>Critical</t>
        </is>
      </c>
      <c r="H12" s="4" t="inlineStr">
        <is>
          <t>Not Run</t>
        </is>
      </c>
      <c r="I12" s="5" t="inlineStr"/>
    </row>
    <row r="13" ht="48" customHeight="1">
      <c r="A13" s="6" t="inlineStr">
        <is>
          <t>TC-012</t>
        </is>
      </c>
      <c r="B13" s="6" t="inlineStr">
        <is>
          <t>Registration</t>
        </is>
      </c>
      <c r="C13" s="6" t="inlineStr">
        <is>
          <t>Duplicate email is rejected</t>
        </is>
      </c>
      <c r="D13" s="6" t="inlineStr">
        <is>
          <t>Email already exists</t>
        </is>
      </c>
      <c r="E13" s="6" t="inlineStr">
        <is>
          <t>1. Register using an existing email</t>
        </is>
      </c>
      <c r="F13" s="6" t="inlineStr">
        <is>
          <t>Registration is blocked with clear message</t>
        </is>
      </c>
      <c r="G13" s="7" t="inlineStr">
        <is>
          <t>High</t>
        </is>
      </c>
      <c r="H13" s="4" t="inlineStr">
        <is>
          <t>Not Run</t>
        </is>
      </c>
      <c r="I13" s="8" t="inlineStr"/>
    </row>
    <row r="14" ht="48" customHeight="1">
      <c r="A14" s="2" t="inlineStr">
        <is>
          <t>TC-013</t>
        </is>
      </c>
      <c r="B14" s="2" t="inlineStr">
        <is>
          <t>Login</t>
        </is>
      </c>
      <c r="C14" s="2" t="inlineStr">
        <is>
          <t>Valid user can log in</t>
        </is>
      </c>
      <c r="D14" s="2" t="inlineStr">
        <is>
          <t>Active account exists</t>
        </is>
      </c>
      <c r="E14" s="2" t="inlineStr">
        <is>
          <t>1. Enter valid email/password
2. Submit</t>
        </is>
      </c>
      <c r="F14" s="2" t="inlineStr">
        <is>
          <t>User is authenticated and redirected appropriately</t>
        </is>
      </c>
      <c r="G14" s="10" t="inlineStr">
        <is>
          <t>Critical</t>
        </is>
      </c>
      <c r="H14" s="4" t="inlineStr">
        <is>
          <t>Not Run</t>
        </is>
      </c>
      <c r="I14" s="5" t="inlineStr"/>
    </row>
    <row r="15" ht="48" customHeight="1">
      <c r="A15" s="6" t="inlineStr">
        <is>
          <t>TC-014</t>
        </is>
      </c>
      <c r="B15" s="6" t="inlineStr">
        <is>
          <t>Login</t>
        </is>
      </c>
      <c r="C15" s="6" t="inlineStr">
        <is>
          <t>Invalid password shows error</t>
        </is>
      </c>
      <c r="D15" s="6" t="inlineStr">
        <is>
          <t>Active account exists</t>
        </is>
      </c>
      <c r="E15" s="6" t="inlineStr">
        <is>
          <t>1. Enter valid email and incorrect password
2. Submit</t>
        </is>
      </c>
      <c r="F15" s="6" t="inlineStr">
        <is>
          <t>Login is rejected with clear, non-sensitive error</t>
        </is>
      </c>
      <c r="G15" s="7" t="inlineStr">
        <is>
          <t>High</t>
        </is>
      </c>
      <c r="H15" s="4" t="inlineStr">
        <is>
          <t>Not Run</t>
        </is>
      </c>
      <c r="I15" s="8" t="inlineStr"/>
    </row>
    <row r="16" ht="48" customHeight="1">
      <c r="A16" s="2" t="inlineStr">
        <is>
          <t>TC-015</t>
        </is>
      </c>
      <c r="B16" s="2" t="inlineStr">
        <is>
          <t>Checkout</t>
        </is>
      </c>
      <c r="C16" s="2" t="inlineStr">
        <is>
          <t>Required fields are validated</t>
        </is>
      </c>
      <c r="D16" s="2" t="inlineStr">
        <is>
          <t>Basket contains item</t>
        </is>
      </c>
      <c r="E16" s="2" t="inlineStr">
        <is>
          <t>1. Open checkout
2. Submit empty form</t>
        </is>
      </c>
      <c r="F16" s="2" t="inlineStr">
        <is>
          <t>Required fields display clear validation messages</t>
        </is>
      </c>
      <c r="G16" s="10" t="inlineStr">
        <is>
          <t>Critical</t>
        </is>
      </c>
      <c r="H16" s="4" t="inlineStr">
        <is>
          <t>Not Run</t>
        </is>
      </c>
      <c r="I16" s="5" t="inlineStr"/>
    </row>
    <row r="17" ht="48" customHeight="1">
      <c r="A17" s="6" t="inlineStr">
        <is>
          <t>TC-016</t>
        </is>
      </c>
      <c r="B17" s="6" t="inlineStr">
        <is>
          <t>Checkout</t>
        </is>
      </c>
      <c r="C17" s="6" t="inlineStr">
        <is>
          <t>Invalid email format is rejected</t>
        </is>
      </c>
      <c r="D17" s="6" t="inlineStr">
        <is>
          <t>Basket contains item</t>
        </is>
      </c>
      <c r="E17" s="6" t="inlineStr">
        <is>
          <t>1. Enter invalid email
2. Submit checkout form</t>
        </is>
      </c>
      <c r="F17" s="6" t="inlineStr">
        <is>
          <t>Email field shows validation error</t>
        </is>
      </c>
      <c r="G17" s="7" t="inlineStr">
        <is>
          <t>High</t>
        </is>
      </c>
      <c r="H17" s="4" t="inlineStr">
        <is>
          <t>Not Run</t>
        </is>
      </c>
      <c r="I17" s="8" t="inlineStr"/>
    </row>
    <row r="18" ht="48" customHeight="1">
      <c r="A18" s="2" t="inlineStr">
        <is>
          <t>TC-017</t>
        </is>
      </c>
      <c r="B18" s="2" t="inlineStr">
        <is>
          <t>Checkout</t>
        </is>
      </c>
      <c r="C18" s="2" t="inlineStr">
        <is>
          <t>Valid address can be submitted</t>
        </is>
      </c>
      <c r="D18" s="2" t="inlineStr">
        <is>
          <t>Basket contains item</t>
        </is>
      </c>
      <c r="E18" s="2" t="inlineStr">
        <is>
          <t>1. Enter valid customer/address details
2. Continue</t>
        </is>
      </c>
      <c r="F18" s="2" t="inlineStr">
        <is>
          <t>User progresses to next checkout stage</t>
        </is>
      </c>
      <c r="G18" s="10" t="inlineStr">
        <is>
          <t>Critical</t>
        </is>
      </c>
      <c r="H18" s="4" t="inlineStr">
        <is>
          <t>Not Run</t>
        </is>
      </c>
      <c r="I18" s="5" t="inlineStr"/>
    </row>
    <row r="19" ht="48" customHeight="1">
      <c r="A19" s="6" t="inlineStr">
        <is>
          <t>TC-018</t>
        </is>
      </c>
      <c r="B19" s="6" t="inlineStr">
        <is>
          <t>Responsive</t>
        </is>
      </c>
      <c r="C19" s="6" t="inlineStr">
        <is>
          <t>Checkout form fits mobile viewport</t>
        </is>
      </c>
      <c r="D19" s="6" t="inlineStr">
        <is>
          <t>Mobile viewport</t>
        </is>
      </c>
      <c r="E19" s="6" t="inlineStr">
        <is>
          <t>1. Open checkout
2. Scroll through all fields</t>
        </is>
      </c>
      <c r="F19" s="6" t="inlineStr">
        <is>
          <t>No overlap, clipping or horizontal scrolling occurs</t>
        </is>
      </c>
      <c r="G19" s="7" t="inlineStr">
        <is>
          <t>High</t>
        </is>
      </c>
      <c r="H19" s="4" t="inlineStr">
        <is>
          <t>Not Run</t>
        </is>
      </c>
      <c r="I19" s="8" t="inlineStr"/>
    </row>
    <row r="20" ht="48" customHeight="1">
      <c r="A20" s="2" t="inlineStr">
        <is>
          <t>TC-019</t>
        </is>
      </c>
      <c r="B20" s="2" t="inlineStr">
        <is>
          <t>Responsive</t>
        </is>
      </c>
      <c r="C20" s="2" t="inlineStr">
        <is>
          <t>Buttons remain tappable on mobile</t>
        </is>
      </c>
      <c r="D20" s="2" t="inlineStr">
        <is>
          <t>Mobile viewport</t>
        </is>
      </c>
      <c r="E20" s="2" t="inlineStr">
        <is>
          <t>1. Review primary controls across customer journey</t>
        </is>
      </c>
      <c r="F20" s="2" t="inlineStr">
        <is>
          <t>Buttons are visible, readable and easy to tap</t>
        </is>
      </c>
      <c r="G20" s="3" t="inlineStr">
        <is>
          <t>Medium</t>
        </is>
      </c>
      <c r="H20" s="4" t="inlineStr">
        <is>
          <t>Not Run</t>
        </is>
      </c>
      <c r="I20" s="5" t="inlineStr"/>
    </row>
    <row r="21" ht="48" customHeight="1">
      <c r="A21" s="6" t="inlineStr">
        <is>
          <t>TC-020</t>
        </is>
      </c>
      <c r="B21" s="6" t="inlineStr">
        <is>
          <t>Regression</t>
        </is>
      </c>
      <c r="C21" s="6" t="inlineStr">
        <is>
          <t>Core purchase journey remains functional after release</t>
        </is>
      </c>
      <c r="D21" s="6" t="inlineStr">
        <is>
          <t>Latest build is deployed</t>
        </is>
      </c>
      <c r="E21" s="6" t="inlineStr">
        <is>
          <t>1. Search product
2. Add to basket
3. Update basket
4. Proceed to checkout</t>
        </is>
      </c>
      <c r="F21" s="6" t="inlineStr">
        <is>
          <t>Core journey completes without regression</t>
        </is>
      </c>
      <c r="G21" s="10" t="inlineStr">
        <is>
          <t>Critical</t>
        </is>
      </c>
      <c r="H21" s="4" t="inlineStr">
        <is>
          <t>Not Run</t>
        </is>
      </c>
      <c r="I21" s="8" t="inlineStr"/>
    </row>
  </sheetData>
  <autoFilter ref="A1:I21"/>
  <dataValidations count="2">
    <dataValidation sqref="H2:H21" showDropDown="0" showInputMessage="0" showErrorMessage="0" allowBlank="0" type="list">
      <formula1>"Not Run,Pass,Fail,Blocked"</formula1>
    </dataValidation>
    <dataValidation sqref="G2:G21" showDropDown="0" showInputMessage="0" showErrorMessage="0" allowBlank="0" type="list">
      <formula1>"Critical,High,Medium,Low"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</cols>
  <sheetData>
    <row r="1">
      <c r="A1" s="11" t="inlineStr">
        <is>
          <t>QA Test Execution Summary</t>
        </is>
      </c>
    </row>
    <row r="2"/>
    <row r="3">
      <c r="A3" s="12" t="inlineStr">
        <is>
          <t>Metric</t>
        </is>
      </c>
      <c r="B3" s="12" t="inlineStr">
        <is>
          <t>Value</t>
        </is>
      </c>
    </row>
    <row r="4">
      <c r="A4" s="13" t="inlineStr">
        <is>
          <t>Total Test Cases</t>
        </is>
      </c>
      <c r="B4" s="14">
        <f>COUNTA('Test Cases'!A2:A21)</f>
        <v/>
      </c>
    </row>
    <row r="5">
      <c r="A5" s="13" t="inlineStr">
        <is>
          <t>Passed</t>
        </is>
      </c>
      <c r="B5" s="14">
        <f>COUNTIF('Test Cases'!H2:H21,"Pass")</f>
        <v/>
      </c>
    </row>
    <row r="6">
      <c r="A6" s="13" t="inlineStr">
        <is>
          <t>Failed</t>
        </is>
      </c>
      <c r="B6" s="14">
        <f>COUNTIF('Test Cases'!H2:H21,"Fail")</f>
        <v/>
      </c>
    </row>
    <row r="7">
      <c r="A7" s="13" t="inlineStr">
        <is>
          <t>Blocked</t>
        </is>
      </c>
      <c r="B7" s="14">
        <f>COUNTIF('Test Cases'!H2:H21,"Blocked")</f>
        <v/>
      </c>
    </row>
    <row r="8">
      <c r="A8" s="13" t="inlineStr">
        <is>
          <t>Not Run</t>
        </is>
      </c>
      <c r="B8" s="14">
        <f>COUNTIF('Test Cases'!H2:H21,"Not Run")</f>
        <v/>
      </c>
    </row>
    <row r="9">
      <c r="A9" s="13" t="inlineStr">
        <is>
          <t>Pass Rate</t>
        </is>
      </c>
      <c r="B9" s="15">
        <f>IF(B4=0,0,B5/B4)</f>
        <v/>
      </c>
    </row>
    <row r="10"/>
    <row r="11">
      <c r="A11" s="16" t="inlineStr">
        <is>
          <t>Instructions</t>
        </is>
      </c>
    </row>
    <row r="12">
      <c r="A12" s="17" t="inlineStr">
        <is>
          <t>Update the Status column on the Test Cases sheet as you execute each test. The summary updates automatically in Excel.</t>
        </is>
      </c>
    </row>
    <row r="13"/>
  </sheetData>
  <mergeCells count="2">
    <mergeCell ref="A1:D1"/>
    <mergeCell ref="A12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2026-09-16T11:01:50Z</dcterms:created>
  <dcterms:modified xmlns:dcterms="http://purl.org/dc/terms/" xmlns:xsi="http://www.w3.org/2001/XMLSchema-instance" xsi:type="dcterms:W3CDTF">2026-09-16T11:01:50Z</dcterms:modified>
</cp:coreProperties>
</file>